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Wan2.2分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A0D9E74808C44B095BAA6F8CC7A5BF7" descr="Picture"/>
        <xdr:cNvPicPr/>
      </xdr:nvPicPr>
      <xdr:blipFill>
        <a:blip r:embed="rId1" cstate="print"/>
        <a:stretch>
          <a:fillRect/>
        </a:stretch>
      </xdr:blipFill>
      <xdr:spPr>
        <a:xfrm>
          <a:off x="5287010" y="457200"/>
          <a:ext cx="1066800" cy="1428750"/>
        </a:xfrm>
        <a:prstGeom prst="rect">
          <a:avLst/>
        </a:prstGeom>
      </xdr:spPr>
    </xdr:pic>
  </etc:cellImage>
  <etc:cellImage>
    <xdr:pic>
      <xdr:nvPicPr>
        <xdr:cNvPr id="3" name="ID_21D99BA4C7F945FFACBB02D0E1C2A148" descr="Picture"/>
        <xdr:cNvPicPr/>
      </xdr:nvPicPr>
      <xdr:blipFill>
        <a:blip r:embed="rId2" cstate="print"/>
        <a:stretch>
          <a:fillRect/>
        </a:stretch>
      </xdr:blipFill>
      <xdr:spPr>
        <a:xfrm>
          <a:off x="5287010" y="2981325"/>
          <a:ext cx="1066800" cy="1428750"/>
        </a:xfrm>
        <a:prstGeom prst="rect">
          <a:avLst/>
        </a:prstGeom>
      </xdr:spPr>
    </xdr:pic>
  </etc:cellImage>
  <etc:cellImage>
    <xdr:pic>
      <xdr:nvPicPr>
        <xdr:cNvPr id="4" name="ID_A6389E76A7444063964484CBF9165F5D" descr="Picture"/>
        <xdr:cNvPicPr/>
      </xdr:nvPicPr>
      <xdr:blipFill>
        <a:blip r:embed="rId3" cstate="print"/>
        <a:stretch>
          <a:fillRect/>
        </a:stretch>
      </xdr:blipFill>
      <xdr:spPr>
        <a:xfrm>
          <a:off x="5287010" y="5505450"/>
          <a:ext cx="1066800" cy="1428750"/>
        </a:xfrm>
        <a:prstGeom prst="rect">
          <a:avLst/>
        </a:prstGeom>
      </xdr:spPr>
    </xdr:pic>
  </etc:cellImage>
  <etc:cellImage>
    <xdr:pic>
      <xdr:nvPicPr>
        <xdr:cNvPr id="5" name="ID_41878732969D4C36AD612BFF1618F8E5" descr="Picture"/>
        <xdr:cNvPicPr/>
      </xdr:nvPicPr>
      <xdr:blipFill>
        <a:blip r:embed="rId4" cstate="print"/>
        <a:stretch>
          <a:fillRect/>
        </a:stretch>
      </xdr:blipFill>
      <xdr:spPr>
        <a:xfrm>
          <a:off x="5287010" y="8029575"/>
          <a:ext cx="1066800" cy="1428750"/>
        </a:xfrm>
        <a:prstGeom prst="rect">
          <a:avLst/>
        </a:prstGeom>
      </xdr:spPr>
    </xdr:pic>
  </etc:cellImage>
  <etc:cellImage>
    <xdr:pic>
      <xdr:nvPicPr>
        <xdr:cNvPr id="6" name="ID_B085E4BF0B7A4D55A69D6102701A4CCB" descr="Picture"/>
        <xdr:cNvPicPr/>
      </xdr:nvPicPr>
      <xdr:blipFill>
        <a:blip r:embed="rId5" cstate="print"/>
        <a:stretch>
          <a:fillRect/>
        </a:stretch>
      </xdr:blipFill>
      <xdr:spPr>
        <a:xfrm>
          <a:off x="5287010" y="10553700"/>
          <a:ext cx="942975" cy="1428750"/>
        </a:xfrm>
        <a:prstGeom prst="rect">
          <a:avLst/>
        </a:prstGeom>
      </xdr:spPr>
    </xdr:pic>
  </etc:cellImage>
  <etc:cellImage>
    <xdr:pic>
      <xdr:nvPicPr>
        <xdr:cNvPr id="8" name="ID_C72402EC386440B4B9C22C5E96D36CE7" descr="Picture"/>
        <xdr:cNvPicPr/>
      </xdr:nvPicPr>
      <xdr:blipFill>
        <a:blip r:embed="rId6" cstate="print"/>
        <a:stretch>
          <a:fillRect/>
        </a:stretch>
      </xdr:blipFill>
      <xdr:spPr>
        <a:xfrm>
          <a:off x="5287010" y="15601950"/>
          <a:ext cx="1047750" cy="1428750"/>
        </a:xfrm>
        <a:prstGeom prst="rect">
          <a:avLst/>
        </a:prstGeom>
      </xdr:spPr>
    </xdr:pic>
  </etc:cellImage>
  <etc:cellImage>
    <xdr:pic>
      <xdr:nvPicPr>
        <xdr:cNvPr id="9" name="ID_1D339290E587471CA2EC51F460B41E3C" descr="Picture"/>
        <xdr:cNvPicPr/>
      </xdr:nvPicPr>
      <xdr:blipFill>
        <a:blip r:embed="rId7" cstate="print"/>
        <a:stretch>
          <a:fillRect/>
        </a:stretch>
      </xdr:blipFill>
      <xdr:spPr>
        <a:xfrm>
          <a:off x="5287010" y="18126075"/>
          <a:ext cx="866775" cy="1428750"/>
        </a:xfrm>
        <a:prstGeom prst="rect">
          <a:avLst/>
        </a:prstGeom>
      </xdr:spPr>
    </xdr:pic>
  </etc:cellImage>
  <etc:cellImage>
    <xdr:pic>
      <xdr:nvPicPr>
        <xdr:cNvPr id="10" name="ID_C187E3E59A5C4EAC8AABE50CDBF147C3" descr="Picture"/>
        <xdr:cNvPicPr/>
      </xdr:nvPicPr>
      <xdr:blipFill>
        <a:blip r:embed="rId8" cstate="print"/>
        <a:stretch>
          <a:fillRect/>
        </a:stretch>
      </xdr:blipFill>
      <xdr:spPr>
        <a:xfrm>
          <a:off x="5287010" y="20650200"/>
          <a:ext cx="942975" cy="1428750"/>
        </a:xfrm>
        <a:prstGeom prst="rect">
          <a:avLst/>
        </a:prstGeom>
      </xdr:spPr>
    </xdr:pic>
  </etc:cellImage>
  <etc:cellImage>
    <xdr:pic>
      <xdr:nvPicPr>
        <xdr:cNvPr id="11" name="ID_00067105CCDF40A8B6664FB231975469" descr="Picture"/>
        <xdr:cNvPicPr/>
      </xdr:nvPicPr>
      <xdr:blipFill>
        <a:blip r:embed="rId9" cstate="print"/>
        <a:stretch>
          <a:fillRect/>
        </a:stretch>
      </xdr:blipFill>
      <xdr:spPr>
        <a:xfrm>
          <a:off x="5287010" y="23174325"/>
          <a:ext cx="1066800" cy="1428750"/>
        </a:xfrm>
        <a:prstGeom prst="rect">
          <a:avLst/>
        </a:prstGeom>
      </xdr:spPr>
    </xdr:pic>
  </etc:cellImage>
  <etc:cellImage>
    <xdr:pic>
      <xdr:nvPicPr>
        <xdr:cNvPr id="12" name="ID_297D97F3ABBC4911859BF4D0F631EBC2" descr="Picture"/>
        <xdr:cNvPicPr/>
      </xdr:nvPicPr>
      <xdr:blipFill>
        <a:blip r:embed="rId10" cstate="print"/>
        <a:stretch>
          <a:fillRect/>
        </a:stretch>
      </xdr:blipFill>
      <xdr:spPr>
        <a:xfrm>
          <a:off x="5287010" y="25698450"/>
          <a:ext cx="1066800" cy="1428750"/>
        </a:xfrm>
        <a:prstGeom prst="rect">
          <a:avLst/>
        </a:prstGeom>
      </xdr:spPr>
    </xdr:pic>
  </etc:cellImage>
  <etc:cellImage>
    <xdr:pic>
      <xdr:nvPicPr>
        <xdr:cNvPr id="13" name="ID_849173071EB8423D9FD7B4D1D38FBCEC" descr="Picture"/>
        <xdr:cNvPicPr/>
      </xdr:nvPicPr>
      <xdr:blipFill>
        <a:blip r:embed="rId11" cstate="print"/>
        <a:stretch>
          <a:fillRect/>
        </a:stretch>
      </xdr:blipFill>
      <xdr:spPr>
        <a:xfrm>
          <a:off x="5287010" y="28222575"/>
          <a:ext cx="942975" cy="1428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<sst xmlns="http://schemas.openxmlformats.org/spreadsheetml/2006/main" count="40" uniqueCount="40">
  <si>
    <t>ai模型</t>
  </si>
  <si>
    <t>镜头序号</t>
  </si>
  <si>
    <t>时长</t>
  </si>
  <si>
    <t>槽位（景别+内容+情绪+运镜）</t>
  </si>
  <si>
    <t>适配素材示例</t>
  </si>
  <si>
    <t>图生视频专用提示词示例</t>
  </si>
  <si>
    <t>素材处理：GPT-5.5
视频模型：火山1.5</t>
  </si>
  <si>
    <t>1入场</t>
  </si>
  <si>
    <t>远景｜Roosevelt Island缆车掠过水面与城市天际线，作为情绪转场；傍晚、浪漫、略带漂浮感｜镜头稳定跟随，轻微平移</t>
  </si>
  <si>
    <t>9:16竖版，粉橙色晚霞氛围，保持原图缆车、河道、岸边建筑和天空层次不变。0–1秒：晚霞微微变亮，河面产生柔和流动反光；1–3秒：红色缆车沿钢索平稳向前滑行，镜头轻微横向跟随；3–4秒：缆车继续滑出一点距离，城市灯火若隐若现，形成温柔过渡。禁止缆车字样改变、钢索扭曲、建筑漂移、水面闪烁异常。</t>
  </si>
  <si>
    <t>2-1互动</t>
  </si>
  <si>
    <t>大全景｜城市公园网球场空镜，远处有人运动，近处栏杆压出层次；明亮、轻快、青春感｜镜头平视缓慢推进，保留环境呼吸感</t>
  </si>
  <si>
    <t>9:16竖版，胶片感自然写实，保持原图网球场、围栏、树木和城市天际线结构不变。0–1秒：白云缓慢漂移，远处球场人物有极轻微挥拍和走动；1–3秒：前景栏杆稳定，镜头缓慢向前推近，热空气与夏日光感自然；3–4秒：远处人物动作延续，画面保持克制安静，作为恋爱阶段的城市日常铺垫。禁止新增人物、网球场变形、人物抽搐、云层突变、镜头抖动。</t>
  </si>
  <si>
    <t>2-2互动</t>
  </si>
  <si>
    <t>中远景｜情侣在城市草坪边的小桌前对坐聊天，像一次轻松的约会；自然、松弛、甜而不腻｜镜头缓慢推近，带一点观察者视角</t>
  </si>
  <si>
    <t>9:16竖版，电影感生活纪实，保持原图草坪、桌椅、远处建筑与情侣位置关系不变。0–1.2秒：背景树叶和旗帜轻微晃动，公园里的人群做细微连续活动；1.2–3.5秒：情侣自然交谈，手势轻轻比划，彼此带笑看向对方，身体有细微呼吸起伏；3.5–4.5秒：镜头平稳缓慢推近，让两人的情绪更加清晰。禁止脸部重绘、手指畸形、桌椅漂移、背景行人乱跳。</t>
  </si>
  <si>
    <t>3-1互动</t>
  </si>
  <si>
    <t>特写｜阳光洒在水面上的闪烁空镜，像记忆中的情绪停顿；柔软、梦幻、意识流｜镜头固定或极轻微下沉，让波纹自己说话</t>
  </si>
  <si>
    <t>9:16竖版，胶片感写实，保持原图水面纹理与亮点分布风格一致。0–1秒：细小波纹自然流动，阳光闪点不断细碎跳动；1–2.8秒：镜头保持稳定，水面明暗随着波纹轻轻变化，形成浪漫意识流过渡；2.8–3.5秒：画面极轻微下沉或前推，闪光继续漂浮。禁止水面突然冻结、闪点爆闪、出现额外物体、噪点失控。</t>
  </si>
  <si>
    <t>3-2互动</t>
  </si>
  <si>
    <t>中远景｜情侣背对镜头坐在海边长椅上，看着远处海面与夏日天空；平静、亲密、带一点时间被拉长的感觉｜镜头缓慢推近或轻微横移</t>
  </si>
  <si>
    <t>9:16竖版，暖调夏日纪实，保持原图长椅、栏杆、海面、沙滩和两人背影姿态不变。0–1.2秒：海面细波轻轻闪动，远处海滩人群有很轻的连续活动，云层缓慢移动；1.2–3秒：情侣保持并肩坐姿，肩膀与头部有微小自然呼吸起伏，女孩轻轻转头看向男生；3–4秒：镜头缓慢推近，海风带动发丝。禁止人物回头过大、服装改变、海岸线变形、背景人群异常增殖。</t>
  </si>
  <si>
    <t>4-1高光</t>
  </si>
  <si>
    <t>大全景｜林荫街道与旧公寓立面空镜，像恋爱记忆里的日常街角；温柔、安静、生活流｜镜头缓慢前移并轻微抬头，感受树影与阳光</t>
  </si>
  <si>
    <t>9:16竖版，清透自然光，保持原图树木、建筑、车辆和街道透视关系不变。0–1.2秒：树叶被微风轻轻吹动，斑驳阳光在墙面与路面缓慢闪烁；1.2–3秒：远处行人与自行车做轻微连续移动，画面像夏日晨间记忆般安静流淌；3–4秒：镜头平稳前移并轻微抬头，树冠与楼体的纵深更明显。禁止树木扭曲、建筑漂移、人物复制、光影跳变或镜头剧烈晃动。</t>
  </si>
  <si>
    <t>4-2高光</t>
  </si>
  <si>
    <t>中景｜同一地铁口另一帧婚纱肖像，头纱在风里扬起，像恋爱走向婚礼的定格；轻盈、笃定、浪漫｜镜头缓慢推近并带轻微侧移</t>
  </si>
  <si>
    <t>9:16竖版，柔和逆光写实，保持原图情侣外形、服装、头纱飘动方向、地铁口结构和背景虚化氛围不变。0–1.2秒：头纱与发丝被风轻轻扬起，男生扶栏姿态稳定；1.2–3秒：两人面对镜头自然露出浅笑，肩膀和呼吸有细微起伏，镜头缓慢推近；3–4秒：镜头带一点轻微侧移，头纱继续自然摆动，让婚礼感更柔和。禁止人物换脸、头纱断裂、栏杆扭曲、背景跳闪。</t>
  </si>
  <si>
    <t>4-3高光</t>
  </si>
  <si>
    <t>中景｜DUMBO街区的小狗站在前景，身后是桥与街道，像旅行中轻松可爱的插曲；俏皮、生活化、带一点城市趣味｜镜头轻微前推并低机位观察</t>
  </si>
  <si>
    <t>9:16竖版，真实城市街拍质感，保持原图小狗外形、项圈、前景桌面、桥梁和街道透视不变。0–1秒：小狗耳朵轻轻抖动，鼻尖微动，眼神自然看向镜头；1–3秒：背景路人缓慢穿行，桥下街道气氛自然流动，小狗轻轻偏头或眨眼一次；3–4秒：镜头轻微前推，强化旅途中可爱的停顿感。禁止小狗体型变化、五官错位、桥体变形、背景人群闪烁。</t>
  </si>
  <si>
    <t>4-4高光</t>
  </si>
  <si>
    <t>中景｜地铁站台上新婚情侣亲吻，列车在身后掠过；热烈、都会、电影感强｜镜头主体锁定人物，背景保持动感模糊</t>
  </si>
  <si>
    <t>9:16竖版，电影感写实，主体清晰、背景列车动态模糊，保持原图情侣姿态、礼服、花束和站台构图不变。0–1秒：列车从背景平稳驶过，形成连续运动模糊；1–3.2秒：情侣保持亲吻，女孩手中花束轻微晃动，头纱自然垂落，人物身体有细微呼吸感；3.2–4.5秒：列车继续掠过后减弱，镜头轻微推近，保留都会婚礼的浪漫张力。禁止人物虚焦、亲吻错位、花束变形、列车结构混乱。</t>
  </si>
  <si>
    <t>5-1收尾</t>
  </si>
  <si>
    <t>远景｜纽约街头清晨空镜，霓虹招牌、街道、车辆与潮湿路面共同构成城市开场；微凉、克制、带一点即将开始的期待｜镜头缓慢前推，带轻微呼吸感</t>
  </si>
  <si>
    <t>9:16竖版，电影感写实，保留原图纽约街景构图、招牌位置、车辆分布和潮湿路面质感不变。0–1秒：远处霓虹招牌轻微闪烁，空气中有极轻薄雾感，路面反光自然流动；1–3秒：车辆缓慢前行，尾灯与街边灯牌形成柔和流动感，镜头稳定轻推；3–4秒：画面继续微微推进，城市噪点与生活气息轻轻展开，作为恋爱纪念短片开场。禁止建筑变形、文字乱改、车辆漂移、画面抖动、灯牌闪烁异常。</t>
  </si>
  <si>
    <t>5-2收尾</t>
  </si>
  <si>
    <t>中远景｜夜幕下两人在落地窗前举杯，Empire State Building在背后发光，作为结尾；成熟、纪念感、余韵悠长｜镜头缓慢推近并略微上扬</t>
  </si>
  <si>
    <t>9:16竖版，夜景电影感剪影写实，保持原图两人剪影姿态、酒杯位置、窗框结构和帝国大厦灯光不变。0–1秒：城市夜景灯点轻微闪烁，酒杯里气泡和液面有极细微变化；1–3.2秒：两人缓慢将酒杯轻轻抬起相碰，动作克制优雅，轮廓保持清晰；3.2–4.5秒：镜头稳定推近并略微上扬，定格十周年纪念的夜色尾声。禁止剪影变形、酒杯错位、帝国大厦结构变化、背景灯光爆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</si>
</sst>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2A2520"/>
      <name val="Microsoft YaHei"/>
      <charset val="134"/>
    </font>
    <font>
      <b/>
      <sz val="11"/>
      <name val="Microsoft YaHei"/>
      <charset val="134"/>
    </font>
    <font>
      <sz val="10"/>
      <color rgb="FF222222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DE3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8">
    <xf numFmtId="0" fontId="0" fillId="0" borderId="0" xfId="0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3.5" outlineLevelCol="5"/>
  <cols>
    <col min="1" max="1" width="18" customWidth="1"/>
    <col min="2" max="2" width="15" customWidth="1"/>
    <col min="3" max="3" width="9.38333333333333" customWidth="1"/>
    <col min="4" max="4" width="45" customWidth="1"/>
    <col min="5" max="5" width="25.6333333333333" customWidth="1"/>
    <col min="6" max="6" width="81.25" customWidth="1"/>
  </cols>
  <sheetData>
    <row r="1" ht="36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81" customHeight="1" spans="1:6">
      <c r="A2" s="3" t="s">
        <v>6</v>
      </c>
      <c r="B2" s="3" t="s">
        <v>7</v>
      </c>
      <c r="C2" s="4">
        <v>8</v>
      </c>
      <c r="D2" s="5" t="s">
        <v>8</v>
      </c>
      <c r="E2" s="6" t="str">
        <f>_xlfn.DISPIMG("ID_297D97F3ABBC4911859BF4D0F631EBC2",1)</f>
        <v>=DISPIMG("ID_297D97F3ABBC4911859BF4D0F631EBC2",1)</v>
      </c>
      <c r="F2" s="5" t="s">
        <v>9</v>
      </c>
    </row>
    <row r="3" ht="114" customHeight="1" spans="1:6">
      <c r="B3" s="3" t="s">
        <v>10</v>
      </c>
      <c r="C3" s="4">
        <v>3</v>
      </c>
      <c r="D3" s="5" t="s">
        <v>11</v>
      </c>
      <c r="E3" s="6" t="str">
        <f>_xlfn.DISPIMG("ID_A6389E76A7444063964484CBF9165F5D",1)</f>
        <v>=DISPIMG("ID_A6389E76A7444063964484CBF9165F5D",1)</v>
      </c>
      <c r="F3" s="5" t="s">
        <v>12</v>
      </c>
    </row>
    <row r="4" ht="114" customHeight="1" spans="1:6">
      <c r="B4" s="3" t="s">
        <v>13</v>
      </c>
      <c r="C4" s="4">
        <v>3</v>
      </c>
      <c r="D4" s="5" t="s">
        <v>14</v>
      </c>
      <c r="E4" s="6" t="str">
        <f>_xlfn.DISPIMG("ID_849173071EB8423D9FD7B4D1D38FBCEC",1)</f>
        <v>=DISPIMG("ID_849173071EB8423D9FD7B4D1D38FBCEC",1)</v>
      </c>
      <c r="F4" s="5" t="s">
        <v>15</v>
      </c>
    </row>
    <row r="5" ht="114" customHeight="1" spans="1:6">
      <c r="B5" s="3" t="s">
        <v>16</v>
      </c>
      <c r="C5" s="4">
        <v>2</v>
      </c>
      <c r="D5" s="5" t="s">
        <v>17</v>
      </c>
      <c r="E5" s="6" t="str">
        <f>_xlfn.DISPIMG("ID_C72402EC386440B4B9C22C5E96D36CE7",1)</f>
        <v>=DISPIMG("ID_C72402EC386440B4B9C22C5E96D36CE7",1)</v>
      </c>
      <c r="F5" s="5" t="s">
        <v>18</v>
      </c>
    </row>
    <row r="6" ht="114" customHeight="1" spans="1:6">
      <c r="B6" s="3" t="s">
        <v>19</v>
      </c>
      <c r="C6" s="4">
        <v>3</v>
      </c>
      <c r="D6" s="5" t="s">
        <v>20</v>
      </c>
      <c r="E6" s="6" t="str">
        <f>_xlfn.DISPIMG("ID_1D339290E587471CA2EC51F460B41E3C",1)</f>
        <v>=DISPIMG("ID_1D339290E587471CA2EC51F460B41E3C",1)</v>
      </c>
      <c r="F6" s="5" t="s">
        <v>21</v>
      </c>
    </row>
    <row r="7" ht="114" customHeight="1" spans="1:6">
      <c r="B7" s="7" t="s">
        <v>22</v>
      </c>
      <c r="C7" s="4">
        <v>5</v>
      </c>
      <c r="D7" s="5" t="s">
        <v>23</v>
      </c>
      <c r="E7" s="6" t="str">
        <f>_xlfn.DISPIMG("ID_21D99BA4C7F945FFACBB02D0E1C2A148",1)</f>
        <v>=DISPIMG("ID_21D99BA4C7F945FFACBB02D0E1C2A148",1)</v>
      </c>
      <c r="F7" s="5" t="s">
        <v>24</v>
      </c>
    </row>
    <row r="8" ht="114" customHeight="1" spans="1:6">
      <c r="B8" s="7" t="s">
        <v>25</v>
      </c>
      <c r="C8" s="4">
        <v>5</v>
      </c>
      <c r="D8" s="5" t="s">
        <v>26</v>
      </c>
      <c r="E8" s="6" t="str">
        <f>_xlfn.DISPIMG("ID_C187E3E59A5C4EAC8AABE50CDBF147C3",1)</f>
        <v>=DISPIMG("ID_C187E3E59A5C4EAC8AABE50CDBF147C3",1)</v>
      </c>
      <c r="F8" s="5" t="s">
        <v>27</v>
      </c>
    </row>
    <row r="9" ht="114" customHeight="1" spans="1:6">
      <c r="B9" s="7" t="s">
        <v>28</v>
      </c>
      <c r="C9" s="4">
        <v>3</v>
      </c>
      <c r="D9" s="5" t="s">
        <v>29</v>
      </c>
      <c r="E9" s="6" t="str">
        <f>_xlfn.DISPIMG("ID_B085E4BF0B7A4D55A69D6102701A4CCB",1)</f>
        <v>=DISPIMG("ID_B085E4BF0B7A4D55A69D6102701A4CCB",1)</v>
      </c>
      <c r="F9" s="5" t="s">
        <v>30</v>
      </c>
    </row>
    <row r="10" ht="114" customHeight="1" spans="1:6">
      <c r="B10" s="7" t="s">
        <v>31</v>
      </c>
      <c r="C10" s="4">
        <v>5</v>
      </c>
      <c r="D10" s="5" t="s">
        <v>32</v>
      </c>
      <c r="E10" s="6" t="str">
        <f>_xlfn.DISPIMG("ID_41878732969D4C36AD612BFF1618F8E5",1)</f>
        <v>=DISPIMG("ID_41878732969D4C36AD612BFF1618F8E5",1)</v>
      </c>
      <c r="F10" s="5" t="s">
        <v>33</v>
      </c>
    </row>
    <row r="11" ht="114" customHeight="1" spans="1:6">
      <c r="B11" s="7" t="s">
        <v>34</v>
      </c>
      <c r="C11" s="4">
        <v>3</v>
      </c>
      <c r="D11" s="5" t="s">
        <v>35</v>
      </c>
      <c r="E11" s="6" t="str">
        <f>_xlfn.DISPIMG("ID_8A0D9E74808C44B095BAA6F8CC7A5BF7",1)</f>
        <v>=DISPIMG("ID_8A0D9E74808C44B095BAA6F8CC7A5BF7",1)</v>
      </c>
      <c r="F11" s="5" t="s">
        <v>36</v>
      </c>
    </row>
    <row r="12" ht="81" customHeight="1" spans="1:6">
      <c r="B12" s="7" t="s">
        <v>37</v>
      </c>
      <c r="C12" s="4">
        <v>3</v>
      </c>
      <c r="D12" s="5" t="s">
        <v>38</v>
      </c>
      <c r="E12" s="6" t="str">
        <f>_xlfn.DISPIMG("ID_00067105CCDF40A8B6664FB231975469",1)</f>
        <v>=DISPIMG("ID_00067105CCDF40A8B6664FB231975469",1)</v>
      </c>
      <c r="F12" s="5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Wan2.2分镜表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小T老师</cp:lastModifiedBy>
  <dcterms:created xsi:type="dcterms:W3CDTF">2026-07-28T07:59:00Z</dcterms:created>
  <dcterms:modified xsi:type="dcterms:W3CDTF">2026-07-28T09:02:41Z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154F6EA5124D4BD5AFFF884C4FD22B5B_12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